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796C085D-37BF-4B0F-B4E4-9E7FB52A7DF6}" xr6:coauthVersionLast="47" xr6:coauthVersionMax="47" xr10:uidLastSave="{00000000-0000-0000-0000-000000000000}"/>
  <bookViews>
    <workbookView xWindow="1837" yWindow="450" windowWidth="11355" windowHeight="10350" tabRatio="500" activeTab="1" xr2:uid="{00000000-000D-0000-FFFF-FFFF00000000}"/>
  </bookViews>
  <sheets>
    <sheet name="Tong_quan" sheetId="1" r:id="rId1"/>
    <sheet name="Indoor_ToaNha" sheetId="2" r:id="rId2"/>
    <sheet name="Outdoor_HangMuc" sheetId="3" r:id="rId3"/>
    <sheet name="Huong_dan"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 i="2" l="1"/>
  <c r="F2" i="2"/>
</calcChain>
</file>

<file path=xl/sharedStrings.xml><?xml version="1.0" encoding="utf-8"?>
<sst xmlns="http://schemas.openxmlformats.org/spreadsheetml/2006/main" count="99" uniqueCount="93">
  <si>
    <t>Mã (không sửa)</t>
  </si>
  <si>
    <t>Hạng mục</t>
  </si>
  <si>
    <t>Giá trị</t>
  </si>
  <si>
    <t>Ghi chú</t>
  </si>
  <si>
    <t>report_date</t>
  </si>
  <si>
    <t>Ngày báo cáo (hiện dưới tiêu đề trang)</t>
  </si>
  <si>
    <t>Đang đặt tạm bằng ngày tạo file (21/09/2026) — hãy sửa lại đúng kỳ báo cáo. Nhập kiểu ngày hoặc chữ tự do.</t>
  </si>
  <si>
    <t>nongeo_progress</t>
  </si>
  <si>
    <t>Thông tin phi hình học (toàn bộ) — % hoàn thành</t>
  </si>
  <si>
    <t>Số từ 0 đến 100. Giá trị 5% lấy từ bản báo cáo cũ (index.html).</t>
  </si>
  <si>
    <t>traffic_progress</t>
  </si>
  <si>
    <t>Mô hình hóa giao thông &amp; cảnh quan — % hoàn thành</t>
  </si>
  <si>
    <t>Tên tòa nhà (VI)</t>
  </si>
  <si>
    <t>Building name (EN)</t>
  </si>
  <si>
    <t>Tiến độ mô hình hình học (%)</t>
  </si>
  <si>
    <t>Ô kiểm tra (tự tính)</t>
  </si>
  <si>
    <t>Tòa nhà hành chính</t>
  </si>
  <si>
    <t>Admin Building</t>
  </si>
  <si>
    <t>Số tòa nhà</t>
  </si>
  <si>
    <t>Tòa nhà triển lãm</t>
  </si>
  <si>
    <t>Exhibition Hall</t>
  </si>
  <si>
    <t>Tiến độ trung bình (%)</t>
  </si>
  <si>
    <t>Tòa nhà thư viện</t>
  </si>
  <si>
    <t>Library Building</t>
  </si>
  <si>
    <t>Web dùng trung bình cộng đơn giản, cùng công thức với ô F3.</t>
  </si>
  <si>
    <t>Tòa nhà giảng đường</t>
  </si>
  <si>
    <t>Lecture Hall</t>
  </si>
  <si>
    <t>Tòa nhà hội trường</t>
  </si>
  <si>
    <t>Auditorium</t>
  </si>
  <si>
    <t>Tòa nhà ăn</t>
  </si>
  <si>
    <t>Cafeteria Building</t>
  </si>
  <si>
    <t>Tòa nhà thể thao+ hồ bơi+ sân tập</t>
  </si>
  <si>
    <t>Sports Complex</t>
  </si>
  <si>
    <t>Tòa nhà trung tâm</t>
  </si>
  <si>
    <t>Center Building</t>
  </si>
  <si>
    <t>Tòa nhà học thuật 1</t>
  </si>
  <si>
    <t>Academic Building 1</t>
  </si>
  <si>
    <t>Tòa nhà học thuật 2</t>
  </si>
  <si>
    <t>Academic Building 2</t>
  </si>
  <si>
    <t>Tòa nhà học thuật 3</t>
  </si>
  <si>
    <t>Academic Building 3</t>
  </si>
  <si>
    <t>Tòa nhà học thuật 5</t>
  </si>
  <si>
    <t>Academic Building 5</t>
  </si>
  <si>
    <t>Tòa nhà học thuật 6</t>
  </si>
  <si>
    <t>Academic Building 6</t>
  </si>
  <si>
    <t>Tòa nhà khách</t>
  </si>
  <si>
    <t>Guest House</t>
  </si>
  <si>
    <t>Khu nhà villa</t>
  </si>
  <si>
    <t>Villa Area</t>
  </si>
  <si>
    <t>Nhà kí túc xá 1</t>
  </si>
  <si>
    <t>Dormitory 1</t>
  </si>
  <si>
    <t>Nhà kí túc xá 2</t>
  </si>
  <si>
    <t>Dormitory 2</t>
  </si>
  <si>
    <t>Hạng mục (chỉ để đọc)</t>
  </si>
  <si>
    <t>Tiến độ (%)</t>
  </si>
  <si>
    <t>Trạng thái</t>
  </si>
  <si>
    <t>Tiêu đề chi tiết (VI)</t>
  </si>
  <si>
    <t>Nội dung chi tiết (VI)</t>
  </si>
  <si>
    <t>Detail title (EN)</t>
  </si>
  <si>
    <t>Detail content (EN)</t>
  </si>
  <si>
    <t>signage</t>
  </si>
  <si>
    <t>Thiết kế hệ thống Bảng hiệu</t>
  </si>
  <si>
    <t>Đang triển khai</t>
  </si>
  <si>
    <t>Đã hoàn thành khảo sát hiện trạng. Hiện đang trong giai đoạn làm việc với các nhà thầu thiết kế để nhận báo giá chi tiết cho việc sản xuất và lắp đặt.</t>
  </si>
  <si>
    <t>Signage System Design</t>
  </si>
  <si>
    <t>Site survey is complete. Currently working with design contractors to receive detailed quotes for production and installation.</t>
  </si>
  <si>
    <t>space</t>
  </si>
  <si>
    <t>Thiết kế Không gian</t>
  </si>
  <si>
    <t>Phần khảo sát mặt bằng và nhu cầu sử dụng đã hoàn tất. Đang tiến hành làm việc với đơn vị thiết kế để có báo giá cho các hạng mục cải tạo không gian.</t>
  </si>
  <si>
    <t>Space Design</t>
  </si>
  <si>
    <t>The site and user needs survey has been completed. Currently working with the design firm to obtain quotes for space renovation items.</t>
  </si>
  <si>
    <t>energy</t>
  </si>
  <si>
    <t>Quản lý Năng lượng</t>
  </si>
  <si>
    <t>Hướng dẫn Quản lý Năng lượng</t>
  </si>
  <si>
    <t>Bản hướng dẫn sơ bộ đang được triển khai (Huỳnh + Nghĩa). Tài liệu này cung cấp các quy định và gợi ý về việc sử dụng hiệu quả năng lượng được tham khảo từ tiêu chí của EDGE, nhằm tiết kiệm năng lượng và giảm chi phí vận hành.</t>
  </si>
  <si>
    <t>Energy Management Guidelines</t>
  </si>
  <si>
    <t>Preliminary guidelines are being implemented (by Huynh + Nghia). This document provides regulations and suggestions for efficient energy use, referenced from EDGE criteria, to save energy and reduce operating costs.</t>
  </si>
  <si>
    <t>Hướng dẫn cập nhật dữ liệu cho trang báo cáo (index.html)</t>
  </si>
  <si>
    <t>Đổi số liệu trong các ô NỀN VÀNG, CHỮ XANH. Cột "Mã" (nền xám) và các ô nền xanh nhạt (công thức) không cần sửa.</t>
  </si>
  <si>
    <t>Lưu file rồi tải lại trang web (F5) hoặc bấm "Tải lại" ngay dưới tiêu đề trang: số liệu mới sẽ hiện ra.</t>
  </si>
  <si>
    <t>Tên file phải là data.xlsx và nằm cùng thư mục với index.html. Không đổi tên sheet, không chèn/xóa/đổi thứ tự cột.</t>
  </si>
  <si>
    <t>Tiến độ nhập số từ 0 đến 100 (vd 60 nghĩa là 60%). Nếu bạn định dạng ô theo kiểu %, gõ 60% cũng được.</t>
  </si>
  <si>
    <t>Sheet Indoor_ToaNha: thêm tòa nhà bằng cách gõ thêm dòng ngay bên dưới; xóa tòa nhà bằng cách xóa nội dung dòng đó. Dòng trống sẽ bị bỏ qua.</t>
  </si>
  <si>
    <t>Sheet Outdoor_HangMuc: web hiện 3 hạng mục cố định (signage, space, energy). Muốn thêm hạng mục thứ 4 thì phải sửa thêm index.html.</t>
  </si>
  <si>
    <t>Cột Trạng thái chọn từ danh sách: Chưa bắt đầu / Đang triển khai / Hoàn thành / Tạm dừng.</t>
  </si>
  <si>
    <t>Sheet Tong_quan: ngày báo cáo hiện dưới tiêu đề; hai thanh % (phi hình học, giao thông &amp; cảnh quan) cũng lấy từ đây.</t>
  </si>
  <si>
    <t>Nếu file lỗi hoặc thiếu dữ liệu, trang sẽ hiện khung cảnh báo nêu rõ sheet/dòng lỗi và dùng tạm số liệu mặc định.</t>
  </si>
  <si>
    <t>Nguồn số liệu ban đầu: toàn bộ số liệu trong file này lấy từ bản index.html cũ (tiến độ hạng mục ngoài trời 10 / 15 / 10 vốn được nhập cứng trong biểu đồ; trạng thái lấy từ nhãn "Đang triển khai" trên từng thẻ; ngày báo cáo đặt tạm bằng ngày tạo file).</t>
  </si>
  <si>
    <t>LƯU Ý: nếu mở index.html bằng cách nhấp đúp (địa chỉ file://), trình duyệt không cho trang tự đọc data.xlsx. Khi đó bấm "Chọn file Excel" trên trang (hoặc kéo-thả data.xlsx vào trang), hoặc chạy qua web server / hosting để trang tự đọc.</t>
  </si>
  <si>
    <t>Chú giải màu:</t>
  </si>
  <si>
    <t>Ô nhập liệu (sửa được)</t>
  </si>
  <si>
    <t>Mã / chỉ để đọc (không sửa)</t>
  </si>
  <si>
    <t>Ô công thức (tự tính)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</si>
</sst>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0"/>
      <color rgb="FFFFFFFF"/>
      <name val="Arial"/>
      <charset val="1"/>
    </font>
    <font>
      <sz val="10"/>
      <color rgb="FF7F7F7F"/>
      <name val="Arial"/>
      <charset val="1"/>
    </font>
    <font>
      <sz val="10"/>
      <name val="Arial"/>
      <charset val="1"/>
    </font>
    <font>
      <sz val="10"/>
      <color rgb="FF0000FF"/>
      <name val="Arial"/>
      <charset val="1"/>
    </font>
    <font>
      <i/>
      <sz val="9"/>
      <color rgb="FF595959"/>
      <name val="Arial"/>
      <charset val="1"/>
    </font>
    <font>
      <b/>
      <sz val="13"/>
      <color rgb="FF155E75"/>
      <name val="Arial"/>
      <charset val="1"/>
    </font>
    <font>
      <b/>
      <sz val="10"/>
      <color rgb="FF0891B2"/>
      <name val="Arial"/>
      <charset val="1"/>
    </font>
    <font>
      <b/>
      <sz val="10"/>
      <name val="Arial"/>
      <charset val="1"/>
    </font>
  </fonts>
  <fills count="6">
    <fill>
      <patternFill patternType="none"/>
    </fill>
    <fill>
      <patternFill patternType="gray125"/>
    </fill>
    <fill>
      <patternFill patternType="solid">
        <fgColor rgb="FF0891B2"/>
        <bgColor rgb="FF0066CC"/>
      </patternFill>
    </fill>
    <fill>
      <patternFill patternType="solid">
        <fgColor rgb="FFEDEDED"/>
        <bgColor rgb="FFE0F2FE"/>
      </patternFill>
    </fill>
    <fill>
      <patternFill patternType="solid">
        <fgColor rgb="FFFFFFCC"/>
        <bgColor rgb="FFFFFFFF"/>
      </patternFill>
    </fill>
    <fill>
      <patternFill patternType="solid">
        <fgColor rgb="FFE0F2FE"/>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0" borderId="1" xfId="0" applyFont="1" applyBorder="1" applyAlignment="1">
      <alignment vertical="top" wrapText="1"/>
    </xf>
    <xf numFmtId="14" fontId="4" fillId="4" borderId="1" xfId="0" applyNumberFormat="1" applyFont="1" applyFill="1" applyBorder="1" applyAlignment="1">
      <alignment horizontal="center" vertical="top"/>
    </xf>
    <xf numFmtId="0" fontId="4" fillId="4" borderId="1" xfId="0" applyFont="1" applyFill="1" applyBorder="1" applyAlignment="1">
      <alignment horizontal="center" vertical="top"/>
    </xf>
    <xf numFmtId="0" fontId="0" fillId="2" borderId="1" xfId="0" applyFill="1" applyBorder="1"/>
    <xf numFmtId="0" fontId="4" fillId="4" borderId="1" xfId="0" applyFont="1" applyFill="1" applyBorder="1" applyAlignment="1">
      <alignment vertical="top" wrapText="1"/>
    </xf>
    <xf numFmtId="0" fontId="3" fillId="0" borderId="1" xfId="0" applyFont="1" applyBorder="1"/>
    <xf numFmtId="0" fontId="3" fillId="5" borderId="1" xfId="0" applyFont="1" applyFill="1" applyBorder="1" applyAlignment="1">
      <alignment horizontal="center"/>
    </xf>
    <xf numFmtId="0" fontId="6" fillId="0" borderId="0" xfId="0" applyFont="1"/>
    <xf numFmtId="0" fontId="7" fillId="0" borderId="0" xfId="0" applyFont="1" applyAlignment="1">
      <alignment horizontal="center" vertical="top"/>
    </xf>
    <xf numFmtId="0" fontId="3" fillId="0" borderId="0" xfId="0" applyFont="1" applyAlignment="1">
      <alignment vertical="top" wrapText="1"/>
    </xf>
    <xf numFmtId="0" fontId="8" fillId="0" borderId="0" xfId="0" applyFont="1"/>
    <xf numFmtId="0" fontId="4" fillId="4" borderId="1" xfId="0" applyFont="1" applyFill="1" applyBorder="1"/>
    <xf numFmtId="0" fontId="2" fillId="3" borderId="1" xfId="0" applyFont="1" applyFill="1" applyBorder="1"/>
    <xf numFmtId="0" fontId="3" fillId="5" borderId="1" xfId="0" applyFont="1" applyFill="1" applyBorder="1"/>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891B2"/>
      <rgbColor rgb="FFBFBFBF"/>
      <rgbColor rgb="FF7F7F7F"/>
      <rgbColor rgb="FF9999FF"/>
      <rgbColor rgb="FF993366"/>
      <rgbColor rgb="FFFFFFCC"/>
      <rgbColor rgb="FFE0F2FE"/>
      <rgbColor rgb="FF660066"/>
      <rgbColor rgb="FFFF8080"/>
      <rgbColor rgb="FF0066CC"/>
      <rgbColor rgb="FFCCCCFF"/>
      <rgbColor rgb="FF000080"/>
      <rgbColor rgb="FFFF00FF"/>
      <rgbColor rgb="FFFFFF00"/>
      <rgbColor rgb="FF00FFFF"/>
      <rgbColor rgb="FF800080"/>
      <rgbColor rgb="FF800000"/>
      <rgbColor rgb="FF155E75"/>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zoomScaleNormal="100" workbookViewId="0">
      <pane ySplit="1" topLeftCell="A2" activePane="bottomLeft" state="frozen"/>
      <selection pane="bottomLeft"/>
    </sheetView>
  </sheetViews>
  <sheetFormatPr defaultColWidth="8.6640625" defaultRowHeight="14.25" x14ac:dyDescent="0.45"/>
  <cols>
    <col min="1" max="1" width="22" customWidth="1"/>
    <col min="2" max="2" width="52" customWidth="1"/>
    <col min="3" max="3" width="16" customWidth="1"/>
    <col min="4" max="4" width="70" customWidth="1"/>
  </cols>
  <sheetData>
    <row r="1" spans="1:4" ht="31.5" customHeight="1" x14ac:dyDescent="0.45">
      <c r="A1" s="1" t="s">
        <v>0</v>
      </c>
      <c r="B1" s="1" t="s">
        <v>1</v>
      </c>
      <c r="C1" s="1" t="s">
        <v>2</v>
      </c>
      <c r="D1" s="1" t="s">
        <v>3</v>
      </c>
    </row>
    <row r="2" spans="1:4" ht="30" customHeight="1" x14ac:dyDescent="0.45">
      <c r="A2" s="2" t="s">
        <v>4</v>
      </c>
      <c r="B2" s="3" t="s">
        <v>5</v>
      </c>
      <c r="C2" s="4">
        <v>46286</v>
      </c>
      <c r="D2" s="3" t="s">
        <v>6</v>
      </c>
    </row>
    <row r="3" spans="1:4" ht="30" customHeight="1" x14ac:dyDescent="0.45">
      <c r="A3" s="2" t="s">
        <v>7</v>
      </c>
      <c r="B3" s="3" t="s">
        <v>8</v>
      </c>
      <c r="C3" s="5">
        <v>5</v>
      </c>
      <c r="D3" s="3" t="s">
        <v>9</v>
      </c>
    </row>
    <row r="4" spans="1:4" ht="30" customHeight="1" x14ac:dyDescent="0.45">
      <c r="A4" s="2" t="s">
        <v>10</v>
      </c>
      <c r="B4" s="3" t="s">
        <v>11</v>
      </c>
      <c r="C4" s="5">
        <v>5</v>
      </c>
      <c r="D4" s="3" t="s">
        <v>9</v>
      </c>
    </row>
  </sheetData>
  <dataValidations count="1">
    <dataValidation type="decimal" allowBlank="1" showErrorMessage="1" errorTitle="Sai giá trị" error="Nhập số từ 0 đến 100." sqref="C3:C4" xr:uid="{00000000-0002-0000-0000-000000000000}">
      <formula1>0</formula1>
      <formula2>100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abSelected="1" topLeftCell="B1" zoomScaleNormal="100" workbookViewId="0">
      <pane ySplit="1" topLeftCell="A2" activePane="bottomLeft" state="frozen"/>
      <selection pane="bottomLeft" activeCell="E8" sqref="E8"/>
    </sheetView>
  </sheetViews>
  <sheetFormatPr defaultColWidth="8.6640625" defaultRowHeight="14.25" x14ac:dyDescent="0.45"/>
  <cols>
    <col min="1" max="1" width="40" customWidth="1"/>
    <col min="2" max="2" width="32" customWidth="1"/>
    <col min="3" max="3" width="24" customWidth="1"/>
    <col min="4" max="4" width="3" customWidth="1"/>
    <col min="5" max="5" width="26" customWidth="1"/>
    <col min="6" max="6" width="12" customWidth="1"/>
  </cols>
  <sheetData>
    <row r="1" spans="1:6" ht="31.5" customHeight="1" x14ac:dyDescent="0.45">
      <c r="A1" s="1" t="s">
        <v>12</v>
      </c>
      <c r="B1" s="1" t="s">
        <v>13</v>
      </c>
      <c r="C1" s="1" t="s">
        <v>14</v>
      </c>
      <c r="E1" s="1" t="s">
        <v>15</v>
      </c>
      <c r="F1" s="6"/>
    </row>
    <row r="2" spans="1:6" x14ac:dyDescent="0.45">
      <c r="A2" s="7" t="s">
        <v>16</v>
      </c>
      <c r="B2" s="7" t="s">
        <v>17</v>
      </c>
      <c r="C2" s="5">
        <v>60</v>
      </c>
      <c r="E2" s="8" t="s">
        <v>18</v>
      </c>
      <c r="F2" s="9">
        <f>COUNTA(A2:A200)</f>
        <v>17</v>
      </c>
    </row>
    <row r="3" spans="1:6" x14ac:dyDescent="0.45">
      <c r="A3" s="7" t="s">
        <v>19</v>
      </c>
      <c r="B3" s="7" t="s">
        <v>20</v>
      </c>
      <c r="C3" s="5">
        <v>10</v>
      </c>
      <c r="E3" s="8" t="s">
        <v>21</v>
      </c>
      <c r="F3" s="9">
        <f>IFERROR(ROUND(AVERAGE(C2:C200),1),0)</f>
        <v>38.5</v>
      </c>
    </row>
    <row r="4" spans="1:6" ht="15" customHeight="1" x14ac:dyDescent="0.45">
      <c r="A4" s="7" t="s">
        <v>22</v>
      </c>
      <c r="B4" s="7" t="s">
        <v>23</v>
      </c>
      <c r="C4" s="5">
        <v>30</v>
      </c>
      <c r="E4" s="17" t="s">
        <v>24</v>
      </c>
      <c r="F4" s="17"/>
    </row>
    <row r="5" spans="1:6" x14ac:dyDescent="0.45">
      <c r="A5" s="7" t="s">
        <v>25</v>
      </c>
      <c r="B5" s="7" t="s">
        <v>26</v>
      </c>
      <c r="C5" s="5">
        <v>30</v>
      </c>
      <c r="E5" s="17"/>
      <c r="F5" s="17"/>
    </row>
    <row r="6" spans="1:6" x14ac:dyDescent="0.45">
      <c r="A6" s="7" t="s">
        <v>27</v>
      </c>
      <c r="B6" s="7" t="s">
        <v>28</v>
      </c>
      <c r="C6" s="5">
        <v>2</v>
      </c>
      <c r="E6" s="17"/>
      <c r="F6" s="17"/>
    </row>
    <row r="7" spans="1:6" x14ac:dyDescent="0.45">
      <c r="A7" s="7" t="s">
        <v>29</v>
      </c>
      <c r="B7" s="7" t="s">
        <v>30</v>
      </c>
      <c r="C7" s="5">
        <v>10</v>
      </c>
    </row>
    <row r="8" spans="1:6" x14ac:dyDescent="0.45">
      <c r="A8" s="7" t="s">
        <v>31</v>
      </c>
      <c r="B8" s="7" t="s">
        <v>32</v>
      </c>
      <c r="C8" s="5">
        <v>20</v>
      </c>
    </row>
    <row r="9" spans="1:6" x14ac:dyDescent="0.45">
      <c r="A9" s="7" t="s">
        <v>33</v>
      </c>
      <c r="B9" s="7" t="s">
        <v>34</v>
      </c>
      <c r="C9" s="5">
        <v>20</v>
      </c>
    </row>
    <row r="10" spans="1:6" x14ac:dyDescent="0.45">
      <c r="A10" s="7" t="s">
        <v>35</v>
      </c>
      <c r="B10" s="7" t="s">
        <v>36</v>
      </c>
      <c r="C10" s="5">
        <v>80</v>
      </c>
    </row>
    <row r="11" spans="1:6" x14ac:dyDescent="0.45">
      <c r="A11" s="7" t="s">
        <v>37</v>
      </c>
      <c r="B11" s="7" t="s">
        <v>38</v>
      </c>
      <c r="C11" s="5">
        <v>80</v>
      </c>
    </row>
    <row r="12" spans="1:6" x14ac:dyDescent="0.45">
      <c r="A12" s="7" t="s">
        <v>39</v>
      </c>
      <c r="B12" s="7" t="s">
        <v>40</v>
      </c>
      <c r="C12" s="5">
        <v>80</v>
      </c>
    </row>
    <row r="13" spans="1:6" x14ac:dyDescent="0.45">
      <c r="A13" s="7" t="s">
        <v>41</v>
      </c>
      <c r="B13" s="7" t="s">
        <v>42</v>
      </c>
      <c r="C13" s="5">
        <v>80</v>
      </c>
    </row>
    <row r="14" spans="1:6" x14ac:dyDescent="0.45">
      <c r="A14" s="7" t="s">
        <v>43</v>
      </c>
      <c r="B14" s="7" t="s">
        <v>44</v>
      </c>
      <c r="C14" s="5">
        <v>80</v>
      </c>
    </row>
    <row r="15" spans="1:6" x14ac:dyDescent="0.45">
      <c r="A15" s="7" t="s">
        <v>45</v>
      </c>
      <c r="B15" s="7" t="s">
        <v>46</v>
      </c>
      <c r="C15" s="5">
        <v>2</v>
      </c>
    </row>
    <row r="16" spans="1:6" x14ac:dyDescent="0.45">
      <c r="A16" s="7" t="s">
        <v>47</v>
      </c>
      <c r="B16" s="7" t="s">
        <v>48</v>
      </c>
      <c r="C16" s="5">
        <v>10</v>
      </c>
    </row>
    <row r="17" spans="1:3" x14ac:dyDescent="0.45">
      <c r="A17" s="7" t="s">
        <v>49</v>
      </c>
      <c r="B17" s="7" t="s">
        <v>50</v>
      </c>
      <c r="C17" s="5">
        <v>30</v>
      </c>
    </row>
    <row r="18" spans="1:3" x14ac:dyDescent="0.45">
      <c r="A18" s="7" t="s">
        <v>51</v>
      </c>
      <c r="B18" s="7" t="s">
        <v>52</v>
      </c>
      <c r="C18" s="5">
        <v>30</v>
      </c>
    </row>
  </sheetData>
  <mergeCells count="1">
    <mergeCell ref="E4:F6"/>
  </mergeCells>
  <dataValidations count="1">
    <dataValidation type="decimal" allowBlank="1" showErrorMessage="1" errorTitle="Sai giá trị" error="Nhập số từ 0 đến 100 (vd 60 = 60%)." sqref="C2:C200" xr:uid="{00000000-0002-0000-0100-000000000000}">
      <formula1>0</formula1>
      <formula2>100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zoomScaleNormal="100" workbookViewId="0">
      <pane ySplit="1" topLeftCell="A2" activePane="bottomLeft" state="frozen"/>
      <selection pane="bottomLeft"/>
    </sheetView>
  </sheetViews>
  <sheetFormatPr defaultColWidth="8.6640625" defaultRowHeight="14.25" x14ac:dyDescent="0.45"/>
  <cols>
    <col min="1" max="1" width="16" customWidth="1"/>
    <col min="2" max="2" width="26" customWidth="1"/>
    <col min="3" max="3" width="12" customWidth="1"/>
    <col min="4" max="4" width="18" customWidth="1"/>
    <col min="5" max="5" width="30" customWidth="1"/>
    <col min="6" max="6" width="55" customWidth="1"/>
    <col min="7" max="7" width="30" customWidth="1"/>
    <col min="8" max="8" width="55" customWidth="1"/>
  </cols>
  <sheetData>
    <row r="1" spans="1:8" ht="36" customHeight="1" x14ac:dyDescent="0.45">
      <c r="A1" s="1" t="s">
        <v>0</v>
      </c>
      <c r="B1" s="1" t="s">
        <v>53</v>
      </c>
      <c r="C1" s="1" t="s">
        <v>54</v>
      </c>
      <c r="D1" s="1" t="s">
        <v>55</v>
      </c>
      <c r="E1" s="1" t="s">
        <v>56</v>
      </c>
      <c r="F1" s="1" t="s">
        <v>57</v>
      </c>
      <c r="G1" s="1" t="s">
        <v>58</v>
      </c>
      <c r="H1" s="1" t="s">
        <v>59</v>
      </c>
    </row>
    <row r="2" spans="1:8" ht="105" customHeight="1" x14ac:dyDescent="0.45">
      <c r="A2" s="2" t="s">
        <v>60</v>
      </c>
      <c r="B2" s="2" t="s">
        <v>61</v>
      </c>
      <c r="C2" s="5">
        <v>10</v>
      </c>
      <c r="D2" s="7" t="s">
        <v>62</v>
      </c>
      <c r="E2" s="7" t="s">
        <v>61</v>
      </c>
      <c r="F2" s="7" t="s">
        <v>63</v>
      </c>
      <c r="G2" s="7" t="s">
        <v>64</v>
      </c>
      <c r="H2" s="7" t="s">
        <v>65</v>
      </c>
    </row>
    <row r="3" spans="1:8" ht="105" customHeight="1" x14ac:dyDescent="0.45">
      <c r="A3" s="2" t="s">
        <v>66</v>
      </c>
      <c r="B3" s="2" t="s">
        <v>67</v>
      </c>
      <c r="C3" s="5">
        <v>15</v>
      </c>
      <c r="D3" s="7" t="s">
        <v>62</v>
      </c>
      <c r="E3" s="7" t="s">
        <v>67</v>
      </c>
      <c r="F3" s="7" t="s">
        <v>68</v>
      </c>
      <c r="G3" s="7" t="s">
        <v>69</v>
      </c>
      <c r="H3" s="7" t="s">
        <v>70</v>
      </c>
    </row>
    <row r="4" spans="1:8" ht="105" customHeight="1" x14ac:dyDescent="0.45">
      <c r="A4" s="2" t="s">
        <v>71</v>
      </c>
      <c r="B4" s="2" t="s">
        <v>72</v>
      </c>
      <c r="C4" s="5">
        <v>10</v>
      </c>
      <c r="D4" s="7" t="s">
        <v>62</v>
      </c>
      <c r="E4" s="7" t="s">
        <v>73</v>
      </c>
      <c r="F4" s="7" t="s">
        <v>74</v>
      </c>
      <c r="G4" s="7" t="s">
        <v>75</v>
      </c>
      <c r="H4" s="7" t="s">
        <v>76</v>
      </c>
    </row>
  </sheetData>
  <dataValidations count="2">
    <dataValidation type="decimal" allowBlank="1" showErrorMessage="1" errorTitle="Sai giá trị" error="Nhập số từ 0 đến 100." sqref="C2:C20" xr:uid="{00000000-0002-0000-0200-000000000000}">
      <formula1>0</formula1>
      <formula2>100</formula2>
    </dataValidation>
    <dataValidation type="list" showErrorMessage="1" errorTitle="Sai trạng thái" error="Chọn một trong 4 trạng thái trong danh sách." sqref="D2:D20" xr:uid="{00000000-0002-0000-0200-000001000000}">
      <formula1>"Chưa bắt đầu,Đang triển khai,Hoàn thành,Tạm dừng"</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zoomScaleNormal="100" workbookViewId="0"/>
  </sheetViews>
  <sheetFormatPr defaultColWidth="8.6640625" defaultRowHeight="14.25" x14ac:dyDescent="0.45"/>
  <cols>
    <col min="1" max="1" width="4" customWidth="1"/>
    <col min="2" max="2" width="120" customWidth="1"/>
  </cols>
  <sheetData>
    <row r="1" spans="1:2" ht="25.5" customHeight="1" x14ac:dyDescent="0.5">
      <c r="A1" s="10" t="s">
        <v>77</v>
      </c>
    </row>
    <row r="3" spans="1:2" ht="18" customHeight="1" x14ac:dyDescent="0.45">
      <c r="A3" s="11">
        <v>1</v>
      </c>
      <c r="B3" s="12" t="s">
        <v>78</v>
      </c>
    </row>
    <row r="4" spans="1:2" ht="18" customHeight="1" x14ac:dyDescent="0.45">
      <c r="A4" s="11">
        <v>2</v>
      </c>
      <c r="B4" s="12" t="s">
        <v>79</v>
      </c>
    </row>
    <row r="5" spans="1:2" ht="18" customHeight="1" x14ac:dyDescent="0.45">
      <c r="A5" s="11">
        <v>3</v>
      </c>
      <c r="B5" s="12" t="s">
        <v>80</v>
      </c>
    </row>
    <row r="6" spans="1:2" ht="18" customHeight="1" x14ac:dyDescent="0.45">
      <c r="A6" s="11">
        <v>4</v>
      </c>
      <c r="B6" s="12" t="s">
        <v>81</v>
      </c>
    </row>
    <row r="7" spans="1:2" ht="30" customHeight="1" x14ac:dyDescent="0.45">
      <c r="A7" s="11">
        <v>5</v>
      </c>
      <c r="B7" s="12" t="s">
        <v>82</v>
      </c>
    </row>
    <row r="8" spans="1:2" ht="30" customHeight="1" x14ac:dyDescent="0.45">
      <c r="A8" s="11">
        <v>6</v>
      </c>
      <c r="B8" s="12" t="s">
        <v>83</v>
      </c>
    </row>
    <row r="9" spans="1:2" ht="18" customHeight="1" x14ac:dyDescent="0.45">
      <c r="A9" s="11">
        <v>7</v>
      </c>
      <c r="B9" s="12" t="s">
        <v>84</v>
      </c>
    </row>
    <row r="10" spans="1:2" ht="30" customHeight="1" x14ac:dyDescent="0.45">
      <c r="A10" s="11">
        <v>8</v>
      </c>
      <c r="B10" s="12" t="s">
        <v>85</v>
      </c>
    </row>
    <row r="11" spans="1:2" ht="18" customHeight="1" x14ac:dyDescent="0.45">
      <c r="A11" s="11">
        <v>9</v>
      </c>
      <c r="B11" s="12" t="s">
        <v>86</v>
      </c>
    </row>
    <row r="12" spans="1:2" ht="30" customHeight="1" x14ac:dyDescent="0.45">
      <c r="A12" s="11">
        <v>10</v>
      </c>
      <c r="B12" s="12" t="s">
        <v>87</v>
      </c>
    </row>
    <row r="13" spans="1:2" ht="30" customHeight="1" x14ac:dyDescent="0.45">
      <c r="A13" s="11">
        <v>11</v>
      </c>
      <c r="B13" s="12" t="s">
        <v>88</v>
      </c>
    </row>
    <row r="15" spans="1:2" x14ac:dyDescent="0.45">
      <c r="B15" s="13" t="s">
        <v>89</v>
      </c>
    </row>
    <row r="16" spans="1:2" x14ac:dyDescent="0.45">
      <c r="B16" s="14" t="s">
        <v>90</v>
      </c>
    </row>
    <row r="17" spans="2:2" x14ac:dyDescent="0.45">
      <c r="B17" s="15" t="s">
        <v>91</v>
      </c>
    </row>
    <row r="18" spans="2:2" x14ac:dyDescent="0.45">
      <c r="B18" s="16" t="s">
        <v>92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Tong_quan</vt:lpstr>
      <vt:lpstr>Indoor_ToaNha</vt:lpstr>
      <vt:lpstr>Outdoor_HangMuc</vt:lpstr>
      <vt:lpstr>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LIT NUOC</cp:lastModifiedBy>
  <cp:revision>0</cp:revision>
  <dcterms:created xsi:type="dcterms:W3CDTF">2026-09-21T06:40:52Z</dcterms:created>
  <dcterms:modified xsi:type="dcterms:W3CDTF">2026-09-21T07:24:39Z</dcterms:modified>
  <dc:language>en-US</dc:language>
</cp:coreProperties>
</file>